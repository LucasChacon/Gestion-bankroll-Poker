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tilisateur\Desktop\"/>
    </mc:Choice>
  </mc:AlternateContent>
  <xr:revisionPtr revIDLastSave="0" documentId="13_ncr:1_{E7BF03EE-8F4E-4456-801A-039DE76A2D4F}" xr6:coauthVersionLast="47" xr6:coauthVersionMax="47" xr10:uidLastSave="{00000000-0000-0000-0000-000000000000}"/>
  <bookViews>
    <workbookView xWindow="-120" yWindow="-120" windowWidth="29040" windowHeight="15840" activeTab="4" xr2:uid="{00000000-000D-0000-FFFF-FFFF00000000}"/>
  </bookViews>
  <sheets>
    <sheet name="Résultats" sheetId="3" r:id="rId1"/>
    <sheet name="Courbes" sheetId="9" r:id="rId2"/>
    <sheet name="Tournois" sheetId="1" r:id="rId3"/>
    <sheet name="Sit&amp;Go" sheetId="7" r:id="rId4"/>
    <sheet name="Cash Game" sheetId="6" r:id="rId5"/>
    <sheet name="Nom tables Cash Game Winamax" sheetId="8" r:id="rId6"/>
    <sheet name="Sessions" sheetId="2" r:id="rId7"/>
  </sheets>
  <definedNames>
    <definedName name="CG">'Cash Game'!$C$2</definedName>
    <definedName name="MTT">Tournois!$C$2</definedName>
    <definedName name="SNG">'Sit&amp;Go'!$C$2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6" l="1"/>
  <c r="F4" i="6" s="1"/>
  <c r="C10" i="2"/>
  <c r="D10" i="2"/>
  <c r="E14" i="3"/>
  <c r="E8" i="3"/>
  <c r="E11" i="3"/>
  <c r="H2" i="1"/>
  <c r="H2" i="7"/>
  <c r="K2" i="6"/>
  <c r="F4" i="7"/>
  <c r="F2" i="7"/>
  <c r="C4" i="7"/>
  <c r="F4" i="1"/>
  <c r="C4" i="1"/>
  <c r="C2" i="7" l="1"/>
  <c r="E13" i="3" s="1"/>
  <c r="E10" i="3"/>
  <c r="C2" i="1"/>
  <c r="E7" i="3" s="1"/>
  <c r="F2" i="1"/>
  <c r="F2" i="6" a="1"/>
  <c r="F2" i="6" s="1"/>
  <c r="I4" i="6"/>
  <c r="C4" i="6"/>
  <c r="I2" i="6" a="1"/>
  <c r="I2" i="6" s="1"/>
  <c r="E5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Requête - Document" description="Connexion à la requête « Document » dans le classeur." type="5" refreshedVersion="0" background="1">
    <dbPr connection="Provider=Microsoft.Mashup.OleDb.1;Data Source=$Workbook$;Location=Document;Extended Properties=&quot;&quot;" command="SELECT * FROM [Document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<sst xmlns="http://schemas.openxmlformats.org/spreadsheetml/2006/main" count="81" uniqueCount="53">
  <si>
    <t>ABI</t>
  </si>
  <si>
    <t>ROI</t>
  </si>
  <si>
    <t>Date</t>
  </si>
  <si>
    <t>Gains</t>
  </si>
  <si>
    <t>Buy in</t>
  </si>
  <si>
    <t>Nom</t>
  </si>
  <si>
    <t>Re-entry</t>
  </si>
  <si>
    <t>Holdem</t>
  </si>
  <si>
    <t>Hold'em [180 Max]</t>
  </si>
  <si>
    <t>Kill The Fish</t>
  </si>
  <si>
    <t>WESTERN</t>
  </si>
  <si>
    <t>Le Sud vs le reste du monde</t>
  </si>
  <si>
    <t>Bounty</t>
  </si>
  <si>
    <t>Classement</t>
  </si>
  <si>
    <t>Variantes</t>
  </si>
  <si>
    <t>Total Gains</t>
  </si>
  <si>
    <t>Début de soirée</t>
  </si>
  <si>
    <t>Heure de début</t>
  </si>
  <si>
    <t>Type</t>
  </si>
  <si>
    <t>6-MAX</t>
  </si>
  <si>
    <t>6-MAX Bounty</t>
  </si>
  <si>
    <t>Bankroll</t>
  </si>
  <si>
    <t>Résultats MTT</t>
  </si>
  <si>
    <t>Résultat net (€)</t>
  </si>
  <si>
    <t>Date de Début</t>
  </si>
  <si>
    <t>Date de Fin</t>
  </si>
  <si>
    <t>Table</t>
  </si>
  <si>
    <t>SB/BB</t>
  </si>
  <si>
    <t>Nb mains</t>
  </si>
  <si>
    <t>Gains / heure</t>
  </si>
  <si>
    <t>Gains / mains</t>
  </si>
  <si>
    <t>BB</t>
  </si>
  <si>
    <t>BB/heure</t>
  </si>
  <si>
    <t>BB/mains</t>
  </si>
  <si>
    <t>Resultat (BB)</t>
  </si>
  <si>
    <t>Gains (BB)</t>
  </si>
  <si>
    <t>Format</t>
  </si>
  <si>
    <t>Dotation</t>
  </si>
  <si>
    <t>ITM</t>
  </si>
  <si>
    <t>Coût total</t>
  </si>
  <si>
    <t>Début Bilan</t>
  </si>
  <si>
    <t>Résultats CG</t>
  </si>
  <si>
    <t>Gains Cumulés</t>
  </si>
  <si>
    <t>Gain cumulés</t>
  </si>
  <si>
    <t>Nombre de tournois joués</t>
  </si>
  <si>
    <t>Nombre de mains jouées</t>
  </si>
  <si>
    <t>Nombre de SNG joués</t>
  </si>
  <si>
    <t>Résultats SNG</t>
  </si>
  <si>
    <t>Total</t>
  </si>
  <si>
    <t>TOTAL</t>
  </si>
  <si>
    <t>Resultat Cumulé (BB)</t>
  </si>
  <si>
    <t>Resultat Cumulé (€)</t>
  </si>
  <si>
    <t>Nb Mains cumulée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</si>
</sst>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* #,##0.00\ &quot;€&quot;_-;\-* #,##0.00\ &quot;€&quot;_-;_-* &quot;-&quot;??\ &quot;€&quot;_-;_-@_-"/>
    <numFmt numFmtId="164" formatCode="h:mm;@"/>
    <numFmt numFmtId="165" formatCode="_-* #,##0\ &quot;€&quot;_-;\-* #,##0\ &quot;€&quot;_-;_-* &quot;-&quot;??\ &quot;€&quot;_-;_-@_-"/>
    <numFmt numFmtId="166" formatCode="0.00&quot; BB&quot;"/>
    <numFmt numFmtId="167" formatCode="#,##0.00\ &quot;€&quot;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1F1F1F"/>
      <name val="Source Sans Pro"/>
      <family val="2"/>
    </font>
    <font>
      <sz val="8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6F6F6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</fills>
  <borders count="14">
    <border>
      <left/>
      <right/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46">
    <xf numFmtId="0" fontId="0" fillId="0" borderId="0" xfId="0"/>
    <xf numFmtId="22" fontId="4" fillId="2" borderId="1" xfId="0" applyNumberFormat="1" applyFont="1" applyFill="1" applyBorder="1" applyAlignment="1">
      <alignment horizontal="center" vertical="center" wrapText="1"/>
    </xf>
    <xf numFmtId="0" fontId="3" fillId="2" borderId="1" xfId="3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44" fontId="4" fillId="2" borderId="1" xfId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0" fillId="0" borderId="0" xfId="1" applyNumberFormat="1" applyFont="1" applyAlignment="1">
      <alignment horizontal="center" vertical="center"/>
    </xf>
    <xf numFmtId="22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44" fontId="0" fillId="0" borderId="0" xfId="1" applyFont="1" applyAlignment="1">
      <alignment horizontal="center"/>
    </xf>
    <xf numFmtId="9" fontId="0" fillId="0" borderId="0" xfId="2" applyFont="1" applyAlignment="1">
      <alignment horizontal="center"/>
    </xf>
    <xf numFmtId="44" fontId="4" fillId="2" borderId="1" xfId="1" applyFont="1" applyFill="1" applyBorder="1" applyAlignment="1">
      <alignment horizontal="center" vertical="center"/>
    </xf>
    <xf numFmtId="44" fontId="0" fillId="0" borderId="0" xfId="2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4" fillId="2" borderId="1" xfId="0" applyNumberFormat="1" applyFont="1" applyFill="1" applyBorder="1" applyAlignment="1">
      <alignment horizontal="center" vertical="center"/>
    </xf>
    <xf numFmtId="44" fontId="4" fillId="2" borderId="0" xfId="0" applyNumberFormat="1" applyFont="1" applyFill="1" applyAlignment="1">
      <alignment horizontal="center" vertical="center"/>
    </xf>
    <xf numFmtId="166" fontId="4" fillId="2" borderId="1" xfId="0" applyNumberFormat="1" applyFont="1" applyFill="1" applyBorder="1" applyAlignment="1">
      <alignment horizontal="center" vertical="center"/>
    </xf>
    <xf numFmtId="166" fontId="0" fillId="0" borderId="0" xfId="0" applyNumberFormat="1" applyAlignment="1">
      <alignment horizontal="center"/>
    </xf>
    <xf numFmtId="166" fontId="0" fillId="0" borderId="0" xfId="1" applyNumberFormat="1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44" fontId="7" fillId="0" borderId="6" xfId="1" applyFont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8" fillId="6" borderId="11" xfId="0" applyFont="1" applyFill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14" fontId="6" fillId="0" borderId="3" xfId="0" applyNumberFormat="1" applyFont="1" applyBorder="1" applyAlignment="1">
      <alignment horizontal="center" vertical="center"/>
    </xf>
    <xf numFmtId="167" fontId="6" fillId="0" borderId="7" xfId="1" applyNumberFormat="1" applyFont="1" applyFill="1" applyBorder="1" applyAlignment="1">
      <alignment horizontal="center" vertical="center"/>
    </xf>
    <xf numFmtId="167" fontId="6" fillId="0" borderId="8" xfId="1" applyNumberFormat="1" applyFont="1" applyBorder="1" applyAlignment="1">
      <alignment horizontal="center" vertical="center"/>
    </xf>
    <xf numFmtId="167" fontId="6" fillId="0" borderId="13" xfId="1" applyNumberFormat="1" applyFont="1" applyBorder="1" applyAlignment="1">
      <alignment horizontal="center" vertical="center"/>
    </xf>
    <xf numFmtId="0" fontId="3" fillId="0" borderId="0" xfId="3" applyAlignment="1">
      <alignment horizontal="center"/>
    </xf>
    <xf numFmtId="0" fontId="8" fillId="4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2" fontId="6" fillId="0" borderId="8" xfId="1" applyNumberFormat="1" applyFont="1" applyBorder="1" applyAlignment="1">
      <alignment horizontal="center" vertical="center"/>
    </xf>
    <xf numFmtId="1" fontId="6" fillId="0" borderId="7" xfId="1" applyNumberFormat="1" applyFont="1" applyFill="1" applyBorder="1" applyAlignment="1">
      <alignment horizontal="center" vertical="center"/>
    </xf>
    <xf numFmtId="1" fontId="6" fillId="0" borderId="13" xfId="1" applyNumberFormat="1" applyFont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44" fontId="0" fillId="0" borderId="0" xfId="0" applyNumberFormat="1" applyAlignment="1">
      <alignment horizontal="center"/>
    </xf>
    <xf numFmtId="0" fontId="4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4">
    <cellStyle name="Lien hypertexte" xfId="3" builtinId="8"/>
    <cellStyle name="Monétaire" xfId="1" builtinId="4"/>
    <cellStyle name="Normal" xfId="0" builtinId="0"/>
    <cellStyle name="Pourcentage" xfId="2" builtinId="5"/>
  </cellStyles>
  <dxfs count="57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* #,##0\ &quot;€&quot;_-;\-* #,##0\ &quot;€&quot;_-;_-* &quot;-&quot;??\ &quot;€&quot;_-;_-@_-"/>
      <alignment horizontal="center" vertical="center" textRotation="0" wrapText="0" indent="0" justifyLastLine="0" shrinkToFit="0" readingOrder="0"/>
    </dxf>
    <dxf>
      <numFmt numFmtId="165" formatCode="_-* #,##0\ &quot;€&quot;_-;\-* #,##0\ &quot;€&quot;_-;_-* &quot;-&quot;??\ &quot;€&quot;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h:mm;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1F1F"/>
        <name val="Source Sans Pro"/>
        <family val="2"/>
        <scheme val="none"/>
      </font>
      <fill>
        <patternFill patternType="solid">
          <fgColor indexed="64"/>
          <bgColor rgb="FFF6F6F6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1F1F"/>
        <name val="Source Sans Pro"/>
        <family val="2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rgb="FFF6F6F6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1F1F"/>
        <name val="Source Sans Pro"/>
        <family val="2"/>
        <scheme val="none"/>
      </font>
      <fill>
        <patternFill patternType="solid">
          <fgColor indexed="64"/>
          <bgColor rgb="FFF6F6F6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1F1F"/>
        <name val="Source Sans Pro"/>
        <family val="2"/>
        <scheme val="none"/>
      </font>
      <numFmt numFmtId="2" formatCode="0.00"/>
      <fill>
        <patternFill patternType="solid">
          <fgColor indexed="64"/>
          <bgColor rgb="FFF6F6F6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DDDDD"/>
        </left>
        <right/>
        <top style="medium">
          <color rgb="FFDDDDDD"/>
        </top>
        <bottom style="medium">
          <color rgb="FFDDDDDD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1F1F"/>
        <name val="Source Sans Pro"/>
        <family val="2"/>
        <scheme val="none"/>
      </font>
      <numFmt numFmtId="166" formatCode="0.00&quot; BB&quot;"/>
      <fill>
        <patternFill patternType="solid">
          <fgColor indexed="64"/>
          <bgColor rgb="FFF6F6F6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1F1F"/>
        <name val="Source Sans Pro"/>
        <family val="2"/>
        <scheme val="none"/>
      </font>
      <fill>
        <patternFill patternType="solid">
          <fgColor indexed="64"/>
          <bgColor rgb="FFF6F6F6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1F1F"/>
        <name val="Source Sans Pro"/>
        <family val="2"/>
        <scheme val="none"/>
      </font>
      <fill>
        <patternFill patternType="solid">
          <fgColor indexed="64"/>
          <bgColor rgb="FFF6F6F6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1F1F"/>
        <name val="Source Sans Pro"/>
        <family val="2"/>
        <scheme val="none"/>
      </font>
      <fill>
        <patternFill patternType="solid">
          <fgColor indexed="64"/>
          <bgColor rgb="FFF6F6F6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1F1F"/>
        <name val="Source Sans Pro"/>
        <family val="2"/>
        <scheme val="none"/>
      </font>
      <fill>
        <patternFill patternType="solid">
          <fgColor indexed="64"/>
          <bgColor rgb="FFF6F6F6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1F1F"/>
        <name val="Source Sans Pro"/>
        <family val="2"/>
        <scheme val="none"/>
      </font>
      <numFmt numFmtId="27" formatCode="dd/mm/yyyy\ hh:mm"/>
      <fill>
        <patternFill patternType="solid">
          <fgColor indexed="64"/>
          <bgColor rgb="FFF6F6F6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1F1F"/>
        <name val="Source Sans Pro"/>
        <family val="2"/>
        <scheme val="none"/>
      </font>
      <numFmt numFmtId="27" formatCode="dd/mm/yyyy\ hh:mm"/>
      <fill>
        <patternFill patternType="solid">
          <fgColor indexed="64"/>
          <bgColor rgb="FFF6F6F6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border outline="0">
        <bottom style="medium">
          <color rgb="FFDDDDDD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1F1F"/>
        <name val="Source Sans Pro"/>
        <family val="2"/>
        <scheme val="none"/>
      </font>
      <fill>
        <patternFill patternType="solid">
          <fgColor indexed="64"/>
          <bgColor rgb="FFF6F6F6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1F1F"/>
        <name val="Source Sans Pro"/>
        <family val="2"/>
        <scheme val="none"/>
      </font>
      <fill>
        <patternFill patternType="solid">
          <fgColor indexed="64"/>
          <bgColor rgb="FFF6F6F6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1F1F"/>
        <name val="Source Sans Pro"/>
        <family val="2"/>
        <scheme val="none"/>
      </font>
      <fill>
        <patternFill patternType="solid">
          <fgColor indexed="64"/>
          <bgColor rgb="FFF6F6F6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</border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  <border outline="0">
        <left style="medium">
          <color rgb="FFDDDDDD"/>
        </left>
      </border>
    </dxf>
    <dxf>
      <alignment horizontal="center" textRotation="0" indent="0" justifyLastLine="0" shrinkToFit="0" readingOrder="0"/>
      <border outline="0">
        <left style="medium">
          <color rgb="FFDDDDDD"/>
        </left>
      </border>
    </dxf>
    <dxf>
      <numFmt numFmtId="0" formatCode="General"/>
      <alignment horizontal="center" textRotation="0" indent="0" justifyLastLine="0" shrinkToFit="0" readingOrder="0"/>
      <border outline="0">
        <right style="medium">
          <color rgb="FFDDDDDD"/>
        </right>
      </border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border outline="0">
        <bottom style="medium">
          <color rgb="FFDDDDDD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1F1F"/>
        <name val="Source Sans Pro"/>
        <family val="2"/>
        <scheme val="none"/>
      </font>
      <fill>
        <patternFill patternType="solid">
          <fgColor rgb="FF000000"/>
          <bgColor rgb="FFF6F6F6"/>
        </patternFill>
      </fill>
      <alignment horizontal="center" vertic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1F1F"/>
        <name val="Source Sans Pro"/>
        <family val="2"/>
        <scheme val="none"/>
      </font>
      <fill>
        <patternFill patternType="solid">
          <fgColor indexed="64"/>
          <bgColor rgb="FFF6F6F6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1F1F"/>
        <name val="Source Sans Pro"/>
        <family val="2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rgb="FFF6F6F6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1F1F"/>
        <name val="Source Sans Pro"/>
        <family val="2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rgb="FFF6F6F6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1F1F"/>
        <name val="Source Sans Pro"/>
        <family val="2"/>
        <scheme val="none"/>
      </font>
      <fill>
        <patternFill patternType="solid">
          <fgColor indexed="64"/>
          <bgColor rgb="FFF6F6F6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</border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border outline="0">
        <bottom style="medium">
          <color rgb="FFDDDDDD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1F1F"/>
        <name val="Source Sans Pro"/>
        <family val="2"/>
        <scheme val="none"/>
      </font>
      <fill>
        <patternFill patternType="solid">
          <fgColor indexed="64"/>
          <bgColor rgb="FFF6F6F6"/>
        </patternFill>
      </fill>
      <alignment horizontal="center" vertical="center" textRotation="0" wrapText="1" indent="0" justifyLastLine="0" shrinkToFit="0" readingOrder="0"/>
    </dxf>
    <dxf>
      <alignment horizontal="center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MTT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Tournois!$M$8:$M$8</c:f>
              <c:numCache>
                <c:formatCode>_("€"* #,##0.00_);_("€"* \(#,##0.00\);_("€"* "-"??_);_(@_)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83-4B6E-ADAE-33DD08FA37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9213407"/>
        <c:axId val="1039213823"/>
      </c:lineChart>
      <c:catAx>
        <c:axId val="10392134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b="1"/>
                  <a:t>Nombre de Tournois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39213823"/>
        <c:crosses val="autoZero"/>
        <c:auto val="1"/>
        <c:lblAlgn val="ctr"/>
        <c:lblOffset val="100"/>
        <c:noMultiLvlLbl val="0"/>
      </c:catAx>
      <c:valAx>
        <c:axId val="1039213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b="1"/>
                  <a:t>Gains cumulés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392134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CG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'Cash Game'!$L$8:$L$8</c:f>
              <c:numCache>
                <c:formatCode>General</c:formatCode>
                <c:ptCount val="1"/>
              </c:numCache>
            </c:numRef>
          </c:cat>
          <c:val>
            <c:numRef>
              <c:f>'Cash Game'!$K$8:$K$8</c:f>
              <c:numCache>
                <c:formatCode>_("€"* #,##0.00_);_("€"* \(#,##0.00\);_("€"* "-"??_);_(@_)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A0-4370-BFA0-EE53B9AA8D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39213407"/>
        <c:axId val="1039213823"/>
      </c:lineChart>
      <c:catAx>
        <c:axId val="10392134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b="1"/>
                  <a:t>Nombre de</a:t>
                </a:r>
                <a:r>
                  <a:rPr lang="fr-FR" b="1" baseline="0"/>
                  <a:t> mains cumulées </a:t>
                </a:r>
                <a:endParaRPr lang="fr-FR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39213823"/>
        <c:crosses val="autoZero"/>
        <c:auto val="1"/>
        <c:lblAlgn val="ctr"/>
        <c:lblOffset val="100"/>
        <c:noMultiLvlLbl val="0"/>
      </c:catAx>
      <c:valAx>
        <c:axId val="1039213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b="1"/>
                  <a:t>Gains Cumiulés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392134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SNG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'Sit&amp;Go'!$L$8:$L$8</c:f>
              <c:numCache>
                <c:formatCode>_("€"* #,##0.00_);_("€"* \(#,##0.00\);_("€"* "-"??_);_(@_)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62-4842-854E-1701EEB19D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9213407"/>
        <c:axId val="1039213823"/>
      </c:lineChart>
      <c:catAx>
        <c:axId val="10392134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b="1"/>
                  <a:t>Nombre de SNG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39213823"/>
        <c:crosses val="autoZero"/>
        <c:auto val="1"/>
        <c:lblAlgn val="ctr"/>
        <c:lblOffset val="100"/>
        <c:noMultiLvlLbl val="0"/>
      </c:catAx>
      <c:valAx>
        <c:axId val="1039213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b="1"/>
                  <a:t>Gains Cumulés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392134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/>
              <a:t>Comparatifs Gains / Pertes par type de jeu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MTT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Tournois!$C$2</c:f>
              <c:numCache>
                <c:formatCode>_("€"* #,##0.00_);_("€"* \(#,##0.00\);_("€"*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93-42F3-9A4A-ED569B5E831D}"/>
            </c:ext>
          </c:extLst>
        </c:ser>
        <c:ser>
          <c:idx val="1"/>
          <c:order val="1"/>
          <c:tx>
            <c:v>CG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'Cash Game'!$C$2</c:f>
              <c:numCache>
                <c:formatCode>_("€"* #,##0.00_);_("€"* \(#,##0.00\);_("€"*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93-42F3-9A4A-ED569B5E831D}"/>
            </c:ext>
          </c:extLst>
        </c:ser>
        <c:ser>
          <c:idx val="2"/>
          <c:order val="2"/>
          <c:tx>
            <c:v>SNG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'Sit&amp;Go'!$C$2</c:f>
              <c:numCache>
                <c:formatCode>_("€"* #,##0.00_);_("€"* \(#,##0.00\);_("€"*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93-42F3-9A4A-ED569B5E83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08162831"/>
        <c:axId val="1308160335"/>
      </c:barChart>
      <c:catAx>
        <c:axId val="1308162831"/>
        <c:scaling>
          <c:orientation val="minMax"/>
        </c:scaling>
        <c:delete val="1"/>
        <c:axPos val="l"/>
        <c:majorTickMark val="none"/>
        <c:minorTickMark val="none"/>
        <c:tickLblPos val="nextTo"/>
        <c:crossAx val="1308160335"/>
        <c:crosses val="autoZero"/>
        <c:auto val="1"/>
        <c:lblAlgn val="ctr"/>
        <c:lblOffset val="100"/>
        <c:noMultiLvlLbl val="0"/>
      </c:catAx>
      <c:valAx>
        <c:axId val="13081603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8162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14287</xdr:rowOff>
    </xdr:from>
    <xdr:to>
      <xdr:col>8</xdr:col>
      <xdr:colOff>0</xdr:colOff>
      <xdr:row>17</xdr:row>
      <xdr:rowOff>9525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20BEA765-964A-B3C7-7170-A6C7D95596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16</xdr:col>
      <xdr:colOff>0</xdr:colOff>
      <xdr:row>16</xdr:row>
      <xdr:rowOff>185738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6DD3649-6104-4CF1-9BD3-26DE8F7E18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8</xdr:col>
      <xdr:colOff>0</xdr:colOff>
      <xdr:row>32</xdr:row>
      <xdr:rowOff>185738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7737D2BD-7CFD-4E53-8594-8D11182EAE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18</xdr:row>
      <xdr:rowOff>0</xdr:rowOff>
    </xdr:from>
    <xdr:to>
      <xdr:col>16</xdr:col>
      <xdr:colOff>0</xdr:colOff>
      <xdr:row>32</xdr:row>
      <xdr:rowOff>185738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950EABE2-7CFE-41A6-9CDB-547A80FFD9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352425</xdr:colOff>
          <xdr:row>2</xdr:row>
          <xdr:rowOff>66675</xdr:rowOff>
        </xdr:from>
        <xdr:to>
          <xdr:col>15</xdr:col>
          <xdr:colOff>371475</xdr:colOff>
          <xdr:row>5</xdr:row>
          <xdr:rowOff>123825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en Forme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2</xdr:row>
          <xdr:rowOff>114300</xdr:rowOff>
        </xdr:from>
        <xdr:to>
          <xdr:col>15</xdr:col>
          <xdr:colOff>142875</xdr:colOff>
          <xdr:row>6</xdr:row>
          <xdr:rowOff>9525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En Forme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1</xdr:row>
          <xdr:rowOff>19050</xdr:rowOff>
        </xdr:from>
        <xdr:to>
          <xdr:col>14</xdr:col>
          <xdr:colOff>390525</xdr:colOff>
          <xdr:row>4</xdr:row>
          <xdr:rowOff>9525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en Forme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B7:M8" insertRow="1" totalsRowShown="0" headerRowDxfId="56" dataDxfId="55" tableBorderDxfId="54">
  <autoFilter ref="B7:M8" xr:uid="{00000000-0009-0000-0100-000001000000}"/>
  <sortState xmlns:xlrd2="http://schemas.microsoft.com/office/spreadsheetml/2017/richdata2" ref="B8:K8">
    <sortCondition ref="B7:B8"/>
  </sortState>
  <tableColumns count="12">
    <tableColumn id="1" xr3:uid="{00000000-0010-0000-0000-000001000000}" name="Date" dataDxfId="53"/>
    <tableColumn id="2" xr3:uid="{00000000-0010-0000-0000-000002000000}" name="Nom" dataDxfId="52"/>
    <tableColumn id="3" xr3:uid="{00000000-0010-0000-0000-000003000000}" name="Buy in" dataDxfId="51" dataCellStyle="Monétaire"/>
    <tableColumn id="4" xr3:uid="{00000000-0010-0000-0000-000004000000}" name="Variantes" dataDxfId="50"/>
    <tableColumn id="5" xr3:uid="{00000000-0010-0000-0000-000005000000}" name="Re-entry" dataDxfId="49"/>
    <tableColumn id="6" xr3:uid="{00000000-0010-0000-0000-000006000000}" name="Classement" dataDxfId="48"/>
    <tableColumn id="7" xr3:uid="{00000000-0010-0000-0000-000007000000}" name="Gains" dataDxfId="47" dataCellStyle="Monétaire"/>
    <tableColumn id="8" xr3:uid="{00000000-0010-0000-0000-000008000000}" name="Bounty" dataDxfId="46" dataCellStyle="Monétaire"/>
    <tableColumn id="9" xr3:uid="{00000000-0010-0000-0000-000009000000}" name="Total Gains" dataDxfId="45" dataCellStyle="Monétaire"/>
    <tableColumn id="11" xr3:uid="{00000000-0010-0000-0000-00000B000000}" name="Coût total" dataDxfId="44" dataCellStyle="Monétaire"/>
    <tableColumn id="16" xr3:uid="{00000000-0010-0000-0000-000010000000}" name="TOTAL" dataDxfId="43" dataCellStyle="Monétaire"/>
    <tableColumn id="15" xr3:uid="{00000000-0010-0000-0000-00000F000000}" name="Gains Cumulés" dataDxfId="42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1000000}" name="Tableau18" displayName="Tableau18" ref="B7:L8" insertRow="1" totalsRowShown="0" headerRowDxfId="41" dataDxfId="40" tableBorderDxfId="39">
  <autoFilter ref="B7:L8" xr:uid="{00000000-0009-0000-0100-000007000000}"/>
  <tableColumns count="11">
    <tableColumn id="1" xr3:uid="{00000000-0010-0000-0100-000001000000}" name="Date" dataDxfId="38"/>
    <tableColumn id="2" xr3:uid="{00000000-0010-0000-0100-000002000000}" name="Nom" dataDxfId="37"/>
    <tableColumn id="3" xr3:uid="{00000000-0010-0000-0100-000003000000}" name="Buy in" dataDxfId="36" dataCellStyle="Monétaire"/>
    <tableColumn id="4" xr3:uid="{00000000-0010-0000-0100-000004000000}" name="Variantes" dataDxfId="35"/>
    <tableColumn id="5" xr3:uid="{00000000-0010-0000-0100-000005000000}" name="Format" dataDxfId="34"/>
    <tableColumn id="6" xr3:uid="{00000000-0010-0000-0100-000006000000}" name="Classement" dataDxfId="33"/>
    <tableColumn id="7" xr3:uid="{00000000-0010-0000-0100-000007000000}" name="Gains" dataDxfId="32" dataCellStyle="Monétaire"/>
    <tableColumn id="8" xr3:uid="{00000000-0010-0000-0100-000008000000}" name="Bounty" dataDxfId="31" dataCellStyle="Monétaire"/>
    <tableColumn id="11" xr3:uid="{00000000-0010-0000-0100-00000B000000}" name="Dotation" dataDxfId="30" dataCellStyle="Monétaire"/>
    <tableColumn id="9" xr3:uid="{00000000-0010-0000-0100-000009000000}" name="Total Gains" dataDxfId="29" dataCellStyle="Monétaire">
      <calculatedColumnFormula>Tableau18[[#This Row],[Gains]]+Tableau18[[#This Row],[Bounty]]</calculatedColumnFormula>
    </tableColumn>
    <tableColumn id="13" xr3:uid="{00000000-0010-0000-0100-00000D000000}" name="Gain cumulés" dataDxfId="28" dataCellStyle="Monétaire">
      <calculatedColumnFormula>L7+(Tableau18[[#This Row],[Gains]]-Tableau18[[#This Row],[Buy in]])</calculatedColumnFormula>
    </tableColumn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Tableau6" displayName="Tableau6" ref="B7:L8" insertRow="1" totalsRowShown="0" headerRowDxfId="27" dataDxfId="26" tableBorderDxfId="25">
  <autoFilter ref="B7:L8" xr:uid="{00000000-0009-0000-0100-000006000000}"/>
  <sortState xmlns:xlrd2="http://schemas.microsoft.com/office/spreadsheetml/2017/richdata2" ref="B8:J8">
    <sortCondition ref="B7:B8"/>
  </sortState>
  <tableColumns count="11">
    <tableColumn id="1" xr3:uid="{00000000-0010-0000-0200-000001000000}" name="Date de Début" dataDxfId="24"/>
    <tableColumn id="2" xr3:uid="{00000000-0010-0000-0200-000002000000}" name="Date de Fin" dataDxfId="23"/>
    <tableColumn id="3" xr3:uid="{00000000-0010-0000-0200-000003000000}" name="Table" dataDxfId="22"/>
    <tableColumn id="4" xr3:uid="{00000000-0010-0000-0200-000004000000}" name="SB/BB" dataDxfId="21"/>
    <tableColumn id="5" xr3:uid="{00000000-0010-0000-0200-000005000000}" name="Résultat net (€)" dataDxfId="20" dataCellStyle="Monétaire"/>
    <tableColumn id="6" xr3:uid="{00000000-0010-0000-0200-000006000000}" name="Nb mains" dataDxfId="19"/>
    <tableColumn id="8" xr3:uid="{00000000-0010-0000-0200-000008000000}" name="Resultat (BB)" dataDxfId="18">
      <calculatedColumnFormula>Tableau6[[#This Row],[Résultat net (€)]]/Tableau6[[#This Row],[BB]]</calculatedColumnFormula>
    </tableColumn>
    <tableColumn id="7" xr3:uid="{00000000-0010-0000-0200-000007000000}" name="BB" dataDxfId="17">
      <calculatedColumnFormula>RIGHT(Tableau6[[#This Row],[SB/BB]],4)</calculatedColumnFormula>
    </tableColumn>
    <tableColumn id="11" xr3:uid="{00000000-0010-0000-0200-00000B000000}" name="Resultat Cumulé (BB)" dataDxfId="16">
      <calculatedColumnFormula>J7+Tableau6[[#This Row],[Resultat (BB)]]</calculatedColumnFormula>
    </tableColumn>
    <tableColumn id="13" xr3:uid="{00000000-0010-0000-0200-00000D000000}" name="Resultat Cumulé (€)" dataDxfId="15">
      <calculatedColumnFormula>SUM($F$8:Tableau6[[#This Row],[Résultat net (€)]])</calculatedColumnFormula>
    </tableColumn>
    <tableColumn id="10" xr3:uid="{BB352E46-0D99-4F05-B207-B49632CF26E7}" name="Nb Mains cumulée" dataDxfId="14">
      <calculatedColumnFormula>SUM($G$8:Tableau6[[#This Row],[Nb mains]])</calculatedColumnFormula>
    </tableColumn>
  </tableColumns>
  <tableStyleInfo name="TableStyleMedium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ableau3" displayName="Tableau3" ref="B3:F10" totalsRowCount="1" headerRowDxfId="13" dataDxfId="12">
  <autoFilter ref="B3:F9" xr:uid="{00000000-0009-0000-0100-000003000000}"/>
  <tableColumns count="5">
    <tableColumn id="1" xr3:uid="{00000000-0010-0000-0300-000001000000}" name="Heure de début" totalsRowLabel="Total" dataDxfId="11" totalsRowDxfId="10"/>
    <tableColumn id="2" xr3:uid="{00000000-0010-0000-0300-000002000000}" name="Nom" totalsRowFunction="count" dataDxfId="9" totalsRowDxfId="8"/>
    <tableColumn id="3" xr3:uid="{00000000-0010-0000-0300-000003000000}" name="Buy in" totalsRowFunction="sum" dataDxfId="7" totalsRowDxfId="6" dataCellStyle="Monétaire"/>
    <tableColumn id="4" xr3:uid="{00000000-0010-0000-0300-000004000000}" name="Variantes" dataDxfId="5" totalsRowDxfId="4"/>
    <tableColumn id="5" xr3:uid="{00000000-0010-0000-0300-000005000000}" name="Type" dataDxfId="3" totalsRowDxfId="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D1:F14"/>
  <sheetViews>
    <sheetView showGridLines="0" topLeftCell="C1" zoomScale="160" zoomScaleNormal="160" workbookViewId="0">
      <selection activeCell="H13" sqref="H13"/>
    </sheetView>
  </sheetViews>
  <sheetFormatPr baseColWidth="10" defaultRowHeight="21" x14ac:dyDescent="0.25"/>
  <cols>
    <col min="1" max="1" width="14.42578125" style="22" customWidth="1"/>
    <col min="2" max="3" width="11.42578125" style="22"/>
    <col min="4" max="4" width="34.42578125" style="22" bestFit="1" customWidth="1"/>
    <col min="5" max="5" width="16.140625" style="22" bestFit="1" customWidth="1"/>
    <col min="6" max="6" width="38.7109375" style="22" customWidth="1"/>
    <col min="7" max="16384" width="11.42578125" style="22"/>
  </cols>
  <sheetData>
    <row r="1" spans="4:6" ht="21.75" thickBot="1" x14ac:dyDescent="0.3"/>
    <row r="2" spans="4:6" ht="21.75" thickBot="1" x14ac:dyDescent="0.3">
      <c r="D2" s="31" t="s">
        <v>40</v>
      </c>
      <c r="E2" s="32">
        <v>44835</v>
      </c>
    </row>
    <row r="5" spans="4:6" x14ac:dyDescent="0.25">
      <c r="D5" s="23" t="s">
        <v>21</v>
      </c>
      <c r="E5" s="24">
        <f>28.33+E7+E10+E13</f>
        <v>28.33</v>
      </c>
    </row>
    <row r="7" spans="4:6" ht="25.5" customHeight="1" x14ac:dyDescent="0.25">
      <c r="D7" s="25" t="s">
        <v>22</v>
      </c>
      <c r="E7" s="33">
        <f>MTT</f>
        <v>0</v>
      </c>
      <c r="F7" s="26"/>
    </row>
    <row r="8" spans="4:6" x14ac:dyDescent="0.25">
      <c r="D8" s="37" t="s">
        <v>44</v>
      </c>
      <c r="E8" s="40">
        <f>ROWS(Tableau1[Nom])</f>
        <v>1</v>
      </c>
    </row>
    <row r="9" spans="4:6" ht="25.5" customHeight="1" x14ac:dyDescent="0.25"/>
    <row r="10" spans="4:6" ht="25.5" customHeight="1" x14ac:dyDescent="0.25">
      <c r="D10" s="27" t="s">
        <v>41</v>
      </c>
      <c r="E10" s="34">
        <f>CG</f>
        <v>0</v>
      </c>
      <c r="F10" s="28"/>
    </row>
    <row r="11" spans="4:6" ht="25.5" customHeight="1" x14ac:dyDescent="0.25">
      <c r="D11" s="38" t="s">
        <v>45</v>
      </c>
      <c r="E11" s="39">
        <f>SUM(Tableau6[Nb mains])</f>
        <v>0</v>
      </c>
    </row>
    <row r="13" spans="4:6" x14ac:dyDescent="0.25">
      <c r="D13" s="29" t="s">
        <v>47</v>
      </c>
      <c r="E13" s="35">
        <f>SNG</f>
        <v>0</v>
      </c>
      <c r="F13" s="30"/>
    </row>
    <row r="14" spans="4:6" x14ac:dyDescent="0.25">
      <c r="D14" s="29" t="s">
        <v>46</v>
      </c>
      <c r="E14" s="41">
        <f>ROWS(Tableau18[Nom])</f>
        <v>1</v>
      </c>
    </row>
  </sheetData>
  <conditionalFormatting sqref="E5">
    <cfRule type="cellIs" dxfId="1" priority="2" operator="greaterThan">
      <formula>100</formula>
    </cfRule>
    <cfRule type="cellIs" dxfId="0" priority="3" operator="lessThan">
      <formula>50</formula>
    </cfRule>
    <cfRule type="iconSet" priority="6">
      <iconSet>
        <cfvo type="percent" val="0"/>
        <cfvo type="num" val="50"/>
        <cfvo type="num" val="100"/>
      </iconSet>
    </cfRule>
  </conditionalFormatting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markers="1" displayXAxis="1" xr2:uid="{00000000-0003-0000-0000-000000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'Sit&amp;Go'!L8:L8</xm:f>
              <xm:sqref>F13</xm:sqref>
            </x14:sparkline>
          </x14:sparklines>
        </x14:sparklineGroup>
        <x14:sparklineGroup displayEmptyCellsAs="gap" markers="1" high="1" displayXAxis="1" xr2:uid="{00000000-0003-0000-0000-000001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theme="9"/>
          <x14:colorLow rgb="FFD00000"/>
          <x14:sparklines>
            <x14:sparkline>
              <xm:f>'Cash Game'!J8:J8</xm:f>
              <xm:sqref>F10</xm:sqref>
            </x14:sparkline>
          </x14:sparklines>
        </x14:sparklineGroup>
        <x14:sparklineGroup displayEmptyCellsAs="gap" markers="1" high="1" displayXAxis="1" xr2:uid="{00000000-0003-0000-0000-000002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theme="9"/>
          <x14:colorLow rgb="FFD00000"/>
          <x14:sparklines>
            <x14:sparkline>
              <xm:f>Tournois!M8:M8</xm:f>
              <xm:sqref>F7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A1C04-C045-4BFA-920E-1F3C8E4D9363}">
  <sheetPr codeName="Feuil7"/>
  <dimension ref="A1"/>
  <sheetViews>
    <sheetView workbookViewId="0">
      <selection activeCell="R28" sqref="R28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B2:M8"/>
  <sheetViews>
    <sheetView workbookViewId="0">
      <selection activeCell="M21" sqref="M21:M22"/>
    </sheetView>
  </sheetViews>
  <sheetFormatPr baseColWidth="10" defaultRowHeight="15" x14ac:dyDescent="0.25"/>
  <cols>
    <col min="1" max="1" width="11.42578125" style="5"/>
    <col min="2" max="2" width="15.42578125" style="5" bestFit="1" customWidth="1"/>
    <col min="3" max="3" width="25.85546875" style="5" bestFit="1" customWidth="1"/>
    <col min="4" max="4" width="11" style="5" bestFit="1" customWidth="1"/>
    <col min="5" max="5" width="14" style="5" bestFit="1" customWidth="1"/>
    <col min="6" max="6" width="13.28515625" style="5" bestFit="1" customWidth="1"/>
    <col min="7" max="7" width="15.85546875" style="5" bestFit="1" customWidth="1"/>
    <col min="8" max="8" width="10.5703125" style="5" bestFit="1" customWidth="1"/>
    <col min="9" max="9" width="11.85546875" style="5" bestFit="1" customWidth="1"/>
    <col min="10" max="10" width="15.42578125" style="5" bestFit="1" customWidth="1"/>
    <col min="11" max="11" width="14.28515625" style="5" bestFit="1" customWidth="1"/>
    <col min="12" max="12" width="11.140625" style="5" bestFit="1" customWidth="1"/>
    <col min="13" max="13" width="18.7109375" style="5" bestFit="1" customWidth="1"/>
    <col min="14" max="16384" width="11.42578125" style="5"/>
  </cols>
  <sheetData>
    <row r="2" spans="2:13" x14ac:dyDescent="0.25">
      <c r="B2" s="5" t="s">
        <v>3</v>
      </c>
      <c r="C2" s="11">
        <f>(SUBTOTAL(9,Tableau1[Total Gains])-SUBTOTAL(9,Tableau1[Coût total]))</f>
        <v>0</v>
      </c>
      <c r="E2" s="5" t="s">
        <v>1</v>
      </c>
      <c r="F2" s="12" t="e">
        <f>(SUBTOTAL(9,Tableau1[Gains])-SUBTOTAL(9,Tableau1[Coût total]))/SUBTOTAL(9,Tableau1[Coût total])</f>
        <v>#DIV/0!</v>
      </c>
      <c r="H2" s="36" t="str">
        <f ca="1">HYPERLINK("https://www.winamax.fr/account/history.php?to_display=tournaments&amp;history_date_from_day=03&amp;history_date_from_month=10&amp;history_date_from_year=2022&amp;history_date_to_day="&amp;DAY(TODAY())&amp;"&amp;history_date_to_month="&amp;MONTH(TODAY())&amp;"&amp;history_date_to_year="&amp;YEAR(TODAY())&amp;"","DATA")</f>
        <v>DATA</v>
      </c>
    </row>
    <row r="4" spans="2:13" x14ac:dyDescent="0.25">
      <c r="B4" s="5" t="s">
        <v>0</v>
      </c>
      <c r="C4" s="11" t="e">
        <f>AVERAGE(Tableau1[Buy in])</f>
        <v>#DIV/0!</v>
      </c>
      <c r="E4" s="5" t="s">
        <v>38</v>
      </c>
      <c r="F4" s="12" t="e">
        <f>COUNTIF(Tableau1[Gains],"&lt;&gt;0")/COUNT(Tableau1[Gains])</f>
        <v>#DIV/0!</v>
      </c>
    </row>
    <row r="7" spans="2:13" ht="15.75" thickBot="1" x14ac:dyDescent="0.3">
      <c r="B7" s="5" t="s">
        <v>2</v>
      </c>
      <c r="C7" s="5" t="s">
        <v>5</v>
      </c>
      <c r="D7" s="5" t="s">
        <v>4</v>
      </c>
      <c r="E7" s="5" t="s">
        <v>14</v>
      </c>
      <c r="F7" s="5" t="s">
        <v>6</v>
      </c>
      <c r="G7" s="5" t="s">
        <v>13</v>
      </c>
      <c r="H7" s="5" t="s">
        <v>3</v>
      </c>
      <c r="I7" s="5" t="s">
        <v>12</v>
      </c>
      <c r="J7" s="5" t="s">
        <v>15</v>
      </c>
      <c r="K7" s="5" t="s">
        <v>39</v>
      </c>
      <c r="L7" s="5" t="s">
        <v>49</v>
      </c>
      <c r="M7" s="5" t="s">
        <v>42</v>
      </c>
    </row>
    <row r="8" spans="2:13" ht="15.75" thickBot="1" x14ac:dyDescent="0.3">
      <c r="B8" s="1"/>
      <c r="C8" s="2"/>
      <c r="D8" s="4"/>
      <c r="E8" s="3"/>
      <c r="F8" s="3"/>
      <c r="G8" s="3"/>
      <c r="H8" s="4"/>
      <c r="I8" s="4"/>
      <c r="J8" s="4"/>
      <c r="K8" s="4"/>
      <c r="L8" s="4"/>
      <c r="M8" s="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Macro5">
                <anchor moveWithCells="1" sizeWithCells="1">
                  <from>
                    <xdr:col>13</xdr:col>
                    <xdr:colOff>352425</xdr:colOff>
                    <xdr:row>2</xdr:row>
                    <xdr:rowOff>66675</xdr:rowOff>
                  </from>
                  <to>
                    <xdr:col>15</xdr:col>
                    <xdr:colOff>371475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B2:M13"/>
  <sheetViews>
    <sheetView workbookViewId="0">
      <selection activeCell="L20" sqref="L20:L21"/>
    </sheetView>
  </sheetViews>
  <sheetFormatPr baseColWidth="10" defaultRowHeight="15" x14ac:dyDescent="0.25"/>
  <cols>
    <col min="1" max="1" width="11.42578125" style="5"/>
    <col min="2" max="2" width="15.42578125" style="5" bestFit="1" customWidth="1"/>
    <col min="3" max="3" width="25.85546875" style="5" bestFit="1" customWidth="1"/>
    <col min="4" max="4" width="8.7109375" style="5" bestFit="1" customWidth="1"/>
    <col min="5" max="5" width="11.7109375" style="5" bestFit="1" customWidth="1"/>
    <col min="6" max="6" width="9.5703125" style="5" bestFit="1" customWidth="1"/>
    <col min="7" max="7" width="13.5703125" style="5" bestFit="1" customWidth="1"/>
    <col min="8" max="8" width="8.28515625" style="5" bestFit="1" customWidth="1"/>
    <col min="9" max="9" width="9.5703125" style="5" bestFit="1" customWidth="1"/>
    <col min="10" max="11" width="13.140625" style="5" bestFit="1" customWidth="1"/>
    <col min="12" max="12" width="15.28515625" style="5" bestFit="1" customWidth="1"/>
    <col min="13" max="16384" width="11.42578125" style="5"/>
  </cols>
  <sheetData>
    <row r="2" spans="2:13" x14ac:dyDescent="0.25">
      <c r="B2" s="5" t="s">
        <v>3</v>
      </c>
      <c r="C2" s="11">
        <f>(SUBTOTAL(9,Tableau18[Total Gains])-SUBTOTAL(9,Tableau18[Buy in]))</f>
        <v>0</v>
      </c>
      <c r="E2" s="5" t="s">
        <v>1</v>
      </c>
      <c r="F2" s="12" t="e">
        <f>(SUBTOTAL(9,Tableau18[Gains])-SUBTOTAL(9,Tableau18[Buy in]))/SUBTOTAL(9,Tableau18[Buy in])</f>
        <v>#DIV/0!</v>
      </c>
      <c r="H2" s="36" t="str">
        <f ca="1">HYPERLINK("https://www.winamax.fr/account/history.php?to_display=sitngo&amp;history_date_from_day=03&amp;history_date_from_month=10&amp;history_date_from_year=2022&amp;history_date_to_day="&amp;DAY(TODAY())&amp;"&amp;history_date_to_month="&amp;MONTH(TODAY())&amp;"&amp;history_date_to_year="&amp;YEAR(TODAY())&amp;"","DATA")</f>
        <v>DATA</v>
      </c>
    </row>
    <row r="4" spans="2:13" x14ac:dyDescent="0.25">
      <c r="B4" s="5" t="s">
        <v>0</v>
      </c>
      <c r="C4" s="11" t="e">
        <f>AVERAGE(Tableau18[Buy in])</f>
        <v>#DIV/0!</v>
      </c>
      <c r="E4" s="5" t="s">
        <v>38</v>
      </c>
      <c r="F4" s="12" t="e">
        <f>COUNTIF(Tableau18[Gains],"&lt;&gt;0")/COUNT(Tableau18[Gains])</f>
        <v>#DIV/0!</v>
      </c>
    </row>
    <row r="7" spans="2:13" ht="15.75" thickBot="1" x14ac:dyDescent="0.3">
      <c r="B7" s="5" t="s">
        <v>2</v>
      </c>
      <c r="C7" s="5" t="s">
        <v>5</v>
      </c>
      <c r="D7" s="5" t="s">
        <v>4</v>
      </c>
      <c r="E7" s="5" t="s">
        <v>14</v>
      </c>
      <c r="F7" s="5" t="s">
        <v>36</v>
      </c>
      <c r="G7" s="5" t="s">
        <v>13</v>
      </c>
      <c r="H7" s="5" t="s">
        <v>3</v>
      </c>
      <c r="I7" s="5" t="s">
        <v>12</v>
      </c>
      <c r="J7" s="5" t="s">
        <v>37</v>
      </c>
      <c r="K7" s="5" t="s">
        <v>15</v>
      </c>
      <c r="L7" s="5" t="s">
        <v>43</v>
      </c>
    </row>
    <row r="8" spans="2:13" ht="15.75" thickBot="1" x14ac:dyDescent="0.3">
      <c r="B8" s="1"/>
      <c r="C8" s="2"/>
      <c r="D8" s="4"/>
      <c r="E8" s="3"/>
      <c r="F8" s="3"/>
      <c r="G8" s="3"/>
      <c r="H8" s="4"/>
      <c r="I8" s="4"/>
      <c r="J8" s="4"/>
      <c r="K8" s="13"/>
      <c r="L8" s="13"/>
    </row>
    <row r="13" spans="2:13" x14ac:dyDescent="0.25">
      <c r="M13" s="4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Macro3">
                <anchor moveWithCells="1" sizeWithCells="1">
                  <from>
                    <xdr:col>13</xdr:col>
                    <xdr:colOff>114300</xdr:colOff>
                    <xdr:row>2</xdr:row>
                    <xdr:rowOff>114300</xdr:rowOff>
                  </from>
                  <to>
                    <xdr:col>15</xdr:col>
                    <xdr:colOff>142875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5"/>
  <dimension ref="B2:L8"/>
  <sheetViews>
    <sheetView tabSelected="1" zoomScaleNormal="100" workbookViewId="0">
      <selection activeCell="M20" sqref="M20"/>
    </sheetView>
  </sheetViews>
  <sheetFormatPr baseColWidth="10" defaultRowHeight="15" x14ac:dyDescent="0.25"/>
  <cols>
    <col min="1" max="1" width="11.42578125" style="5"/>
    <col min="2" max="2" width="15.85546875" style="5" customWidth="1"/>
    <col min="3" max="3" width="25.85546875" style="5" bestFit="1" customWidth="1"/>
    <col min="4" max="4" width="16.28515625" style="5" bestFit="1" customWidth="1"/>
    <col min="5" max="5" width="12.85546875" style="5" bestFit="1" customWidth="1"/>
    <col min="6" max="6" width="19.140625" style="5" bestFit="1" customWidth="1"/>
    <col min="7" max="7" width="13.85546875" style="5" bestFit="1" customWidth="1"/>
    <col min="8" max="9" width="17" style="5" bestFit="1" customWidth="1"/>
    <col min="10" max="10" width="24.42578125" style="5" customWidth="1"/>
    <col min="11" max="11" width="23.140625" style="5" customWidth="1"/>
    <col min="12" max="12" width="22.28515625" style="5" bestFit="1" customWidth="1"/>
    <col min="13" max="16384" width="11.42578125" style="5"/>
  </cols>
  <sheetData>
    <row r="2" spans="2:12" x14ac:dyDescent="0.25">
      <c r="B2" s="5" t="s">
        <v>3</v>
      </c>
      <c r="C2" s="14">
        <f xml:space="preserve"> SUM(Tableau6[Résultat net (€)])</f>
        <v>0</v>
      </c>
      <c r="E2" s="5" t="s">
        <v>29</v>
      </c>
      <c r="F2" s="11" t="e" cm="1">
        <f t="array" ref="F2">C2/(SUM(Tableau6[Date de Fin]-Tableau6[Date de Début])*24)</f>
        <v>#DIV/0!</v>
      </c>
      <c r="H2" s="5" t="s">
        <v>32</v>
      </c>
      <c r="I2" s="20" t="e" cm="1">
        <f t="array" ref="I2">SUM(Tableau6[Resultat (BB)])/(SUM(Tableau6[Date de Fin]-Tableau6[Date de Début])*24)</f>
        <v>#DIV/0!</v>
      </c>
      <c r="K2" s="36" t="str">
        <f ca="1">HYPERLINK("https://www.winamax.fr/account/history.php?to_display=cashgame&amp;history_date_from_day=03&amp;history_date_from_month=10&amp;history_date_from_year=2022&amp;history_date_to_day="&amp;DAY(TODAY())&amp;"&amp;history_date_to_month="&amp;MONTH(TODAY())&amp;"&amp;history_date_to_year="&amp;YEAR(TODAY())&amp;"","DATA")</f>
        <v>DATA</v>
      </c>
    </row>
    <row r="4" spans="2:12" x14ac:dyDescent="0.25">
      <c r="B4" s="5" t="s">
        <v>35</v>
      </c>
      <c r="C4" s="21">
        <f>SUM(Tableau6[Resultat (BB)])</f>
        <v>0</v>
      </c>
      <c r="D4" s="15"/>
      <c r="E4" s="5" t="s">
        <v>30</v>
      </c>
      <c r="F4" s="11" t="e">
        <f>C2/SUM(Tableau6[Nb mains])</f>
        <v>#DIV/0!</v>
      </c>
      <c r="H4" s="5" t="s">
        <v>33</v>
      </c>
      <c r="I4" s="20" t="e">
        <f>SUM(Tableau6[Resultat (BB)])/SUM(Tableau6[Nb mains])</f>
        <v>#DIV/0!</v>
      </c>
      <c r="K4" s="16"/>
    </row>
    <row r="7" spans="2:12" ht="15.75" thickBot="1" x14ac:dyDescent="0.3">
      <c r="B7" s="5" t="s">
        <v>24</v>
      </c>
      <c r="C7" s="5" t="s">
        <v>25</v>
      </c>
      <c r="D7" s="5" t="s">
        <v>26</v>
      </c>
      <c r="E7" s="5" t="s">
        <v>27</v>
      </c>
      <c r="F7" s="5" t="s">
        <v>23</v>
      </c>
      <c r="G7" s="5" t="s">
        <v>28</v>
      </c>
      <c r="H7" s="5" t="s">
        <v>34</v>
      </c>
      <c r="I7" s="5" t="s">
        <v>31</v>
      </c>
      <c r="J7" s="5" t="s">
        <v>50</v>
      </c>
      <c r="K7" s="5" t="s">
        <v>51</v>
      </c>
      <c r="L7" s="5" t="s">
        <v>52</v>
      </c>
    </row>
    <row r="8" spans="2:12" ht="15.75" thickBot="1" x14ac:dyDescent="0.3">
      <c r="B8" s="9"/>
      <c r="C8" s="9"/>
      <c r="D8" s="10"/>
      <c r="E8" s="10"/>
      <c r="F8" s="13"/>
      <c r="G8" s="10"/>
      <c r="H8" s="19"/>
      <c r="I8" s="17"/>
      <c r="J8" s="19"/>
      <c r="K8" s="18"/>
      <c r="L8" s="44"/>
    </row>
  </sheetData>
  <phoneticPr fontId="5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Macro4">
                <anchor moveWithCells="1" sizeWithCells="1">
                  <from>
                    <xdr:col>12</xdr:col>
                    <xdr:colOff>28575</xdr:colOff>
                    <xdr:row>1</xdr:row>
                    <xdr:rowOff>19050</xdr:rowOff>
                  </from>
                  <to>
                    <xdr:col>14</xdr:col>
                    <xdr:colOff>390525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BE4CC-F70E-4EC6-81E9-BB9A545190E1}">
  <sheetPr codeName="Feuil1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6"/>
  <dimension ref="B2:F10"/>
  <sheetViews>
    <sheetView workbookViewId="0">
      <selection activeCell="D37" sqref="D37"/>
    </sheetView>
  </sheetViews>
  <sheetFormatPr baseColWidth="10" defaultRowHeight="15" x14ac:dyDescent="0.25"/>
  <cols>
    <col min="1" max="1" width="11.42578125" style="6"/>
    <col min="2" max="2" width="17.140625" style="6" bestFit="1" customWidth="1"/>
    <col min="3" max="3" width="25.85546875" style="6" bestFit="1" customWidth="1"/>
    <col min="4" max="4" width="11" style="6" bestFit="1" customWidth="1"/>
    <col min="5" max="5" width="14" style="6" bestFit="1" customWidth="1"/>
    <col min="6" max="7" width="13.5703125" style="6" bestFit="1" customWidth="1"/>
    <col min="8" max="8" width="8.28515625" style="6" bestFit="1" customWidth="1"/>
    <col min="9" max="9" width="9.5703125" style="6" bestFit="1" customWidth="1"/>
    <col min="10" max="10" width="13.140625" style="6" bestFit="1" customWidth="1"/>
    <col min="11" max="16384" width="11.42578125" style="6"/>
  </cols>
  <sheetData>
    <row r="2" spans="2:6" x14ac:dyDescent="0.25">
      <c r="B2" s="45" t="s">
        <v>16</v>
      </c>
      <c r="C2" s="45"/>
      <c r="D2" s="45"/>
      <c r="E2" s="45"/>
    </row>
    <row r="3" spans="2:6" x14ac:dyDescent="0.25">
      <c r="B3" s="6" t="s">
        <v>17</v>
      </c>
      <c r="C3" s="6" t="s">
        <v>5</v>
      </c>
      <c r="D3" s="6" t="s">
        <v>4</v>
      </c>
      <c r="E3" s="6" t="s">
        <v>14</v>
      </c>
      <c r="F3" s="6" t="s">
        <v>18</v>
      </c>
    </row>
    <row r="4" spans="2:6" x14ac:dyDescent="0.25">
      <c r="B4" s="7">
        <v>0.85416666666666663</v>
      </c>
      <c r="C4" s="6" t="s">
        <v>8</v>
      </c>
      <c r="D4" s="8">
        <v>2</v>
      </c>
      <c r="E4" s="6" t="s">
        <v>7</v>
      </c>
      <c r="F4" s="6" t="s">
        <v>19</v>
      </c>
    </row>
    <row r="5" spans="2:6" x14ac:dyDescent="0.25">
      <c r="B5" s="7">
        <v>0.875</v>
      </c>
      <c r="C5" s="6" t="s">
        <v>8</v>
      </c>
      <c r="D5" s="8">
        <v>2</v>
      </c>
      <c r="E5" s="6" t="s">
        <v>7</v>
      </c>
      <c r="F5" s="6" t="s">
        <v>19</v>
      </c>
    </row>
    <row r="6" spans="2:6" x14ac:dyDescent="0.25">
      <c r="B6" s="7">
        <v>0.875</v>
      </c>
      <c r="C6" s="6" t="s">
        <v>8</v>
      </c>
      <c r="D6" s="8">
        <v>1</v>
      </c>
      <c r="E6" s="6" t="s">
        <v>7</v>
      </c>
      <c r="F6" s="6" t="s">
        <v>19</v>
      </c>
    </row>
    <row r="7" spans="2:6" x14ac:dyDescent="0.25">
      <c r="B7" s="7">
        <v>0.85416666666666663</v>
      </c>
      <c r="C7" s="6" t="s">
        <v>9</v>
      </c>
      <c r="D7" s="8">
        <v>2</v>
      </c>
      <c r="E7" s="6" t="s">
        <v>7</v>
      </c>
      <c r="F7" s="6" t="s">
        <v>20</v>
      </c>
    </row>
    <row r="8" spans="2:6" x14ac:dyDescent="0.25">
      <c r="B8" s="7">
        <v>0.86458333333333337</v>
      </c>
      <c r="C8" s="6" t="s">
        <v>10</v>
      </c>
      <c r="D8" s="8">
        <v>1</v>
      </c>
      <c r="E8" s="6" t="s">
        <v>7</v>
      </c>
      <c r="F8" s="6" t="s">
        <v>20</v>
      </c>
    </row>
    <row r="9" spans="2:6" x14ac:dyDescent="0.25">
      <c r="B9" s="7">
        <v>0.85416666666666663</v>
      </c>
      <c r="C9" s="6" t="s">
        <v>11</v>
      </c>
      <c r="D9" s="8">
        <v>2</v>
      </c>
      <c r="E9" s="6" t="s">
        <v>7</v>
      </c>
      <c r="F9" s="6" t="s">
        <v>20</v>
      </c>
    </row>
    <row r="10" spans="2:6" x14ac:dyDescent="0.25">
      <c r="B10" s="6" t="s">
        <v>48</v>
      </c>
      <c r="C10" s="6">
        <f>SUBTOTAL(103,Tableau3[Nom])</f>
        <v>6</v>
      </c>
      <c r="D10" s="42">
        <f>SUBTOTAL(109,Tableau3[Buy in])</f>
        <v>10</v>
      </c>
    </row>
  </sheetData>
  <mergeCells count="1">
    <mergeCell ref="B2:E2"/>
  </mergeCell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72D2A8-CA54-4E33-A741-8131D0D73C5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3</vt:i4>
      </vt:variant>
    </vt:vector>
  </HeadingPairs>
  <TitlesOfParts>
    <vt:vector size="10" baseType="lpstr">
      <vt:lpstr>Résultats</vt:lpstr>
      <vt:lpstr>Courbes</vt:lpstr>
      <vt:lpstr>Tournois</vt:lpstr>
      <vt:lpstr>Sit&amp;Go</vt:lpstr>
      <vt:lpstr>Cash Game</vt:lpstr>
      <vt:lpstr>Nom tables Cash Game Winamax</vt:lpstr>
      <vt:lpstr>Sessions</vt:lpstr>
      <vt:lpstr>CG</vt:lpstr>
      <vt:lpstr>MTT</vt:lpstr>
      <vt:lpstr>SNG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Chacon</dc:creator>
  <cp:lastModifiedBy>Lucas Chacon</cp:lastModifiedBy>
  <dcterms:created xsi:type="dcterms:W3CDTF">2022-10-04T18:52:15Z</dcterms:created>
  <dcterms:modified xsi:type="dcterms:W3CDTF">2022-10-05T14:16:52Z</dcterms:modified>
</cp:coreProperties>
</file>